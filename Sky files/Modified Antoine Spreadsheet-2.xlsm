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jsch\Google Drive\CU\CU courses\CHEN 3840 Independent Study\thermosheets\"/>
    </mc:Choice>
  </mc:AlternateContent>
  <bookViews>
    <workbookView xWindow="4260" yWindow="0" windowWidth="27735" windowHeight="12840" tabRatio="668"/>
  </bookViews>
  <sheets>
    <sheet name="Saturation Pressure Calculation" sheetId="11" r:id="rId1"/>
    <sheet name="Antoine data" sheetId="4" r:id="rId2"/>
  </sheets>
  <calcPr calcId="171027"/>
</workbook>
</file>

<file path=xl/calcChain.xml><?xml version="1.0" encoding="utf-8"?>
<calcChain xmlns="http://schemas.openxmlformats.org/spreadsheetml/2006/main">
  <c r="L17" i="11" l="1"/>
  <c r="L16" i="11"/>
  <c r="L15" i="11"/>
  <c r="L14" i="11"/>
  <c r="L13" i="11"/>
  <c r="C14" i="11" a="1"/>
  <c r="C11" i="11" a="1"/>
  <c r="C10" i="11" a="1"/>
  <c r="C16" i="11" a="1"/>
  <c r="C13" i="11" a="1"/>
  <c r="C17" i="11" a="1"/>
  <c r="C15" i="11" a="1"/>
  <c r="C12" i="11" a="1"/>
  <c r="C17" i="11" l="1"/>
  <c r="G17" i="11"/>
  <c r="F17" i="11"/>
  <c r="E17" i="11"/>
  <c r="D17" i="11"/>
  <c r="G13" i="11"/>
  <c r="F13" i="11"/>
  <c r="E13" i="11"/>
  <c r="D13" i="11"/>
  <c r="C13" i="11"/>
  <c r="G16" i="11"/>
  <c r="F16" i="11"/>
  <c r="E16" i="11"/>
  <c r="D16" i="11"/>
  <c r="C16" i="11"/>
  <c r="G10" i="11"/>
  <c r="C10" i="11"/>
  <c r="F10" i="11"/>
  <c r="E10" i="11"/>
  <c r="D10" i="11"/>
  <c r="F11" i="11"/>
  <c r="E11" i="11"/>
  <c r="D11" i="11"/>
  <c r="C11" i="11"/>
  <c r="G11" i="11"/>
  <c r="E14" i="11"/>
  <c r="D14" i="11"/>
  <c r="C14" i="11"/>
  <c r="G14" i="11"/>
  <c r="F14" i="11"/>
  <c r="C12" i="11"/>
  <c r="E12" i="11"/>
  <c r="G12" i="11"/>
  <c r="D12" i="11"/>
  <c r="F12" i="11"/>
  <c r="C15" i="11"/>
  <c r="D15" i="11"/>
  <c r="G15" i="11"/>
  <c r="F15" i="11"/>
  <c r="E15" i="11"/>
  <c r="H17" i="11" l="1"/>
  <c r="H14" i="11"/>
  <c r="K14" i="11" s="1"/>
  <c r="H13" i="11"/>
  <c r="L12" i="11"/>
  <c r="H12" i="11"/>
  <c r="H15" i="11"/>
  <c r="H10" i="11"/>
  <c r="L10" i="11"/>
  <c r="L11" i="11"/>
  <c r="H11" i="11"/>
  <c r="I14" i="11"/>
  <c r="H16" i="11"/>
  <c r="K17" i="11" l="1"/>
  <c r="J17" i="11"/>
  <c r="I17" i="11"/>
  <c r="J14" i="11"/>
  <c r="K16" i="11"/>
  <c r="J16" i="11"/>
  <c r="I16" i="11"/>
  <c r="I10" i="11"/>
  <c r="J10" i="11"/>
  <c r="K10" i="11"/>
  <c r="J15" i="11"/>
  <c r="I15" i="11"/>
  <c r="K15" i="11"/>
  <c r="K12" i="11"/>
  <c r="J12" i="11"/>
  <c r="I12" i="11"/>
  <c r="K11" i="11"/>
  <c r="J11" i="11"/>
  <c r="I11" i="11"/>
  <c r="I13" i="11"/>
  <c r="J13" i="11"/>
  <c r="K13" i="11"/>
</calcChain>
</file>

<file path=xl/comments1.xml><?xml version="1.0" encoding="utf-8"?>
<comments xmlns="http://schemas.openxmlformats.org/spreadsheetml/2006/main">
  <authors>
    <author>John</author>
  </authors>
  <commentList>
    <comment ref="C7" authorId="0" shapeId="0">
      <text>
        <r>
          <rPr>
            <sz val="9"/>
            <color indexed="81"/>
            <rFont val="Tahoma"/>
            <family val="2"/>
          </rPr>
          <t>Enter temperature in Celsius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Type names of compounds in cells below (case-insensitive, full list on Antoine data worksheet)</t>
        </r>
      </text>
    </comment>
  </commentList>
</comments>
</file>

<file path=xl/sharedStrings.xml><?xml version="1.0" encoding="utf-8"?>
<sst xmlns="http://schemas.openxmlformats.org/spreadsheetml/2006/main" count="201" uniqueCount="84">
  <si>
    <t>A</t>
  </si>
  <si>
    <t>B</t>
  </si>
  <si>
    <t>C</t>
  </si>
  <si>
    <t>tMin[oC]</t>
  </si>
  <si>
    <t>tMax[oC]</t>
  </si>
  <si>
    <t>Source</t>
  </si>
  <si>
    <t>methanol</t>
  </si>
  <si>
    <t>ethanol</t>
  </si>
  <si>
    <t>1-propanol</t>
  </si>
  <si>
    <t>2-propanol</t>
  </si>
  <si>
    <t>1-butanol</t>
  </si>
  <si>
    <t>2-butanol</t>
  </si>
  <si>
    <t>1-octanol</t>
  </si>
  <si>
    <t>ethylene glycol</t>
  </si>
  <si>
    <t>methane</t>
  </si>
  <si>
    <t>ethane</t>
  </si>
  <si>
    <t>propane</t>
  </si>
  <si>
    <t>n-butane</t>
  </si>
  <si>
    <t>n-pentane</t>
  </si>
  <si>
    <t>n-hexane</t>
  </si>
  <si>
    <t>hexane</t>
  </si>
  <si>
    <t>n-heptane</t>
  </si>
  <si>
    <t>heptane</t>
  </si>
  <si>
    <t>n-octane</t>
  </si>
  <si>
    <t>n-nonane</t>
  </si>
  <si>
    <t>n-decane</t>
  </si>
  <si>
    <t>decane</t>
  </si>
  <si>
    <t>cyclohexane</t>
  </si>
  <si>
    <t>methylcyclohexane</t>
  </si>
  <si>
    <t>isopentane</t>
  </si>
  <si>
    <t>toluene</t>
  </si>
  <si>
    <t>benzene</t>
  </si>
  <si>
    <t>m-xylene</t>
  </si>
  <si>
    <t>o-xylene</t>
  </si>
  <si>
    <t>p-xylene</t>
  </si>
  <si>
    <t>acetone</t>
  </si>
  <si>
    <t>acrolein</t>
  </si>
  <si>
    <t>ethyl acetate</t>
  </si>
  <si>
    <t>1,4-dioxane</t>
  </si>
  <si>
    <t>2-butanone</t>
  </si>
  <si>
    <t>3-pentanone</t>
  </si>
  <si>
    <t>water</t>
  </si>
  <si>
    <t>acetonitrile</t>
  </si>
  <si>
    <t>Triethylamine</t>
  </si>
  <si>
    <t>acetic acid</t>
  </si>
  <si>
    <t>chloroform</t>
  </si>
  <si>
    <t>dichloromethane</t>
  </si>
  <si>
    <t>dichoromethane</t>
  </si>
  <si>
    <t>tetrachloromethane</t>
  </si>
  <si>
    <t>1,2-dichloroethane</t>
  </si>
  <si>
    <t>1,2-dichoroethane</t>
  </si>
  <si>
    <t>Benzyl chloride</t>
  </si>
  <si>
    <t>nitroethane</t>
  </si>
  <si>
    <t>Biphenyl</t>
  </si>
  <si>
    <t>solid</t>
  </si>
  <si>
    <t>Naphthalene</t>
  </si>
  <si>
    <t>4(solid)</t>
  </si>
  <si>
    <t>1. Fit to data of D.R. Stull, in Perry's Chemical Engineers' Handbook, 5th ed, pg 3-46 to 3-62. Originally published Ind. Eng. Chem, 39, 517(1947).</t>
  </si>
  <si>
    <t>2. Fit to data of Handbook of Chemistry and Physics, 56th ed., R.C. Weast, ed., CRC Press, 1974-75, pp D191-D210.</t>
  </si>
  <si>
    <t>3. Gmehling, J., Vapor-liquid Equilibrium Data Collection, DECHEMA, Frankfort, Germany, 1977-.</t>
  </si>
  <si>
    <t>5. TRC Thermodynamic Tables, Hydrocarbons, M. Frenkel, N.M. Gadalla, K.R. Hall, X. Hong, K.N. Marsh, R.C. Wilhoit, eds., Thermodynamics Research Center, Texas A&amp;M University, College Station, TX, 1950-1997.</t>
  </si>
  <si>
    <t>6. NIST Webbook</t>
  </si>
  <si>
    <t>Copyright 2012, Carl Lira</t>
  </si>
  <si>
    <t>http://chethermo.net</t>
  </si>
  <si>
    <t>For use with "Introductory Chemical Engineering Thermodynamics" by J.R. Elliott, C.T. Lira</t>
  </si>
  <si>
    <t>Name</t>
  </si>
  <si>
    <t>mmHg</t>
  </si>
  <si>
    <t>kPa</t>
  </si>
  <si>
    <t>psi</t>
  </si>
  <si>
    <r>
      <t>T(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C) =</t>
    </r>
  </si>
  <si>
    <t>biphenyl</t>
  </si>
  <si>
    <t>Saturation pressures calculated from Antoine equation</t>
  </si>
  <si>
    <r>
      <t>Saturation pressure (P</t>
    </r>
    <r>
      <rPr>
        <b/>
        <vertAlign val="superscript"/>
        <sz val="10"/>
        <rFont val="Arial"/>
        <family val="2"/>
      </rPr>
      <t>sat</t>
    </r>
    <r>
      <rPr>
        <b/>
        <sz val="10"/>
        <rFont val="Arial"/>
        <family val="2"/>
      </rPr>
      <t>)</t>
    </r>
  </si>
  <si>
    <t>bar</t>
  </si>
  <si>
    <t>Min T</t>
  </si>
  <si>
    <t>Max T</t>
  </si>
  <si>
    <t>asdfasdf</t>
  </si>
  <si>
    <t>Warnings</t>
  </si>
  <si>
    <t>Cells 18-75 hidden</t>
  </si>
  <si>
    <t>Unique</t>
  </si>
  <si>
    <t>benzyl chloride</t>
  </si>
  <si>
    <t>naphthalene</t>
  </si>
  <si>
    <t>triethylamine</t>
  </si>
  <si>
    <t>Modified 2018, Paul JS Chrastina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</si>
</sst>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name val="Arial"/>
    </font>
    <font>
      <vertAlign val="superscript"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00B0F0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b/>
      <sz val="12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2" borderId="1" applyNumberFormat="0" applyAlignment="0" applyProtection="0"/>
    <xf numFmtId="0" fontId="6" fillId="3" borderId="2" applyNumberFormat="0" applyAlignment="0" applyProtection="0"/>
    <xf numFmtId="0" fontId="8" fillId="3" borderId="1" applyNumberFormat="0" applyAlignment="0" applyProtection="0"/>
    <xf numFmtId="0" fontId="4" fillId="4" borderId="3" applyNumberFormat="0" applyFont="0" applyAlignment="0" applyProtection="0"/>
  </cellStyleXfs>
  <cellXfs count="38">
    <xf numFmtId="0" fontId="0" fillId="0" borderId="0" xfId="0"/>
    <xf numFmtId="0" fontId="2" fillId="0" borderId="0" xfId="1" applyAlignment="1" applyProtection="1"/>
    <xf numFmtId="0" fontId="8" fillId="3" borderId="1" xfId="4" applyBorder="1"/>
    <xf numFmtId="0" fontId="8" fillId="3" borderId="6" xfId="4" applyBorder="1"/>
    <xf numFmtId="0" fontId="8" fillId="3" borderId="7" xfId="4" applyBorder="1"/>
    <xf numFmtId="0" fontId="8" fillId="3" borderId="8" xfId="4" applyBorder="1"/>
    <xf numFmtId="0" fontId="3" fillId="4" borderId="4" xfId="5" applyFont="1" applyBorder="1"/>
    <xf numFmtId="0" fontId="3" fillId="4" borderId="9" xfId="5" applyFont="1" applyBorder="1"/>
    <xf numFmtId="0" fontId="8" fillId="3" borderId="17" xfId="4" applyBorder="1"/>
    <xf numFmtId="0" fontId="8" fillId="3" borderId="18" xfId="4" applyBorder="1"/>
    <xf numFmtId="0" fontId="8" fillId="3" borderId="19" xfId="4" applyBorder="1"/>
    <xf numFmtId="0" fontId="8" fillId="3" borderId="20" xfId="4" applyBorder="1"/>
    <xf numFmtId="0" fontId="8" fillId="3" borderId="21" xfId="4" applyBorder="1"/>
    <xf numFmtId="2" fontId="6" fillId="3" borderId="12" xfId="3" applyNumberFormat="1" applyBorder="1"/>
    <xf numFmtId="2" fontId="6" fillId="3" borderId="13" xfId="3" applyNumberFormat="1" applyBorder="1"/>
    <xf numFmtId="0" fontId="3" fillId="0" borderId="0" xfId="0" applyFont="1"/>
    <xf numFmtId="0" fontId="3" fillId="4" borderId="4" xfId="5" applyFont="1" applyBorder="1" applyAlignment="1">
      <alignment horizontal="right"/>
    </xf>
    <xf numFmtId="0" fontId="10" fillId="0" borderId="0" xfId="0" applyFont="1"/>
    <xf numFmtId="0" fontId="3" fillId="4" borderId="4" xfId="5" applyFont="1" applyBorder="1" applyAlignment="1">
      <alignment horizontal="center"/>
    </xf>
    <xf numFmtId="0" fontId="12" fillId="2" borderId="5" xfId="2" applyFont="1" applyBorder="1" applyAlignment="1" applyProtection="1">
      <alignment horizontal="left"/>
      <protection locked="0"/>
    </xf>
    <xf numFmtId="2" fontId="6" fillId="3" borderId="22" xfId="3" applyNumberFormat="1" applyBorder="1"/>
    <xf numFmtId="0" fontId="5" fillId="2" borderId="23" xfId="2" applyBorder="1"/>
    <xf numFmtId="0" fontId="5" fillId="2" borderId="24" xfId="2" applyBorder="1"/>
    <xf numFmtId="2" fontId="6" fillId="3" borderId="25" xfId="3" applyNumberFormat="1" applyBorder="1"/>
    <xf numFmtId="2" fontId="6" fillId="3" borderId="26" xfId="3" applyNumberFormat="1" applyBorder="1"/>
    <xf numFmtId="0" fontId="3" fillId="4" borderId="27" xfId="5" applyFont="1" applyBorder="1" applyAlignment="1">
      <alignment horizontal="center"/>
    </xf>
    <xf numFmtId="0" fontId="3" fillId="4" borderId="28" xfId="5" applyFont="1" applyBorder="1" applyAlignment="1">
      <alignment horizontal="center"/>
    </xf>
    <xf numFmtId="0" fontId="8" fillId="3" borderId="29" xfId="4" applyBorder="1"/>
    <xf numFmtId="0" fontId="8" fillId="3" borderId="30" xfId="4" applyBorder="1"/>
    <xf numFmtId="0" fontId="8" fillId="3" borderId="31" xfId="4" applyBorder="1"/>
    <xf numFmtId="0" fontId="3" fillId="4" borderId="32" xfId="5" applyFont="1" applyBorder="1" applyAlignment="1">
      <alignment horizontal="center"/>
    </xf>
    <xf numFmtId="0" fontId="3" fillId="4" borderId="33" xfId="5" applyFont="1" applyBorder="1" applyAlignment="1">
      <alignment horizontal="center"/>
    </xf>
    <xf numFmtId="0" fontId="8" fillId="3" borderId="34" xfId="4" applyBorder="1"/>
    <xf numFmtId="0" fontId="8" fillId="3" borderId="10" xfId="4" applyBorder="1"/>
    <xf numFmtId="0" fontId="8" fillId="3" borderId="11" xfId="4" applyBorder="1"/>
    <xf numFmtId="0" fontId="9" fillId="4" borderId="14" xfId="5" applyFont="1" applyBorder="1" applyAlignment="1">
      <alignment horizontal="center"/>
    </xf>
    <xf numFmtId="0" fontId="9" fillId="4" borderId="15" xfId="5" applyFont="1" applyBorder="1" applyAlignment="1">
      <alignment horizontal="center"/>
    </xf>
    <xf numFmtId="0" fontId="9" fillId="4" borderId="16" xfId="5" applyFont="1" applyBorder="1" applyAlignment="1">
      <alignment horizontal="center"/>
    </xf>
  </cellXfs>
  <cellStyles count="6">
    <cellStyle name="Calculation" xfId="4" builtinId="22" customBuiltin="1"/>
    <cellStyle name="Hyperlink" xfId="1" builtinId="8"/>
    <cellStyle name="Input" xfId="2" builtinId="20"/>
    <cellStyle name="Normal" xfId="0" builtinId="0"/>
    <cellStyle name="Note" xfId="5" builtinId="10"/>
    <cellStyle name="Output" xfId="3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hethermo.net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L77"/>
  <sheetViews>
    <sheetView tabSelected="1" zoomScaleNormal="100" workbookViewId="0">
      <selection activeCell="L6" sqref="L6"/>
    </sheetView>
  </sheetViews>
  <sheetFormatPr defaultRowHeight="12.75" x14ac:dyDescent="0.2"/>
  <cols>
    <col min="1" max="1" width="20.85546875" customWidth="1"/>
    <col min="2" max="2" width="17.42578125" customWidth="1"/>
    <col min="8" max="8" width="9.42578125" bestFit="1" customWidth="1"/>
    <col min="9" max="11" width="9.28515625" bestFit="1" customWidth="1"/>
    <col min="12" max="12" width="33.140625" customWidth="1"/>
  </cols>
  <sheetData>
    <row r="3" spans="2:12" ht="15.75" x14ac:dyDescent="0.25">
      <c r="D3" s="17" t="s">
        <v>71</v>
      </c>
      <c r="L3" t="s">
        <v>62</v>
      </c>
    </row>
    <row r="4" spans="2:12" x14ac:dyDescent="0.2">
      <c r="L4" t="s">
        <v>64</v>
      </c>
    </row>
    <row r="5" spans="2:12" x14ac:dyDescent="0.2">
      <c r="L5" s="1" t="s">
        <v>63</v>
      </c>
    </row>
    <row r="6" spans="2:12" ht="13.5" thickBot="1" x14ac:dyDescent="0.25">
      <c r="L6" s="15" t="s">
        <v>83</v>
      </c>
    </row>
    <row r="7" spans="2:12" ht="16.5" thickBot="1" x14ac:dyDescent="0.3">
      <c r="B7" s="16" t="s">
        <v>69</v>
      </c>
      <c r="C7" s="19">
        <v>50</v>
      </c>
    </row>
    <row r="8" spans="2:12" ht="15" thickBot="1" x14ac:dyDescent="0.25">
      <c r="H8" s="35" t="s">
        <v>72</v>
      </c>
      <c r="I8" s="36"/>
      <c r="J8" s="36"/>
      <c r="K8" s="37"/>
    </row>
    <row r="9" spans="2:12" ht="13.5" thickBot="1" x14ac:dyDescent="0.25">
      <c r="B9" s="6" t="s">
        <v>65</v>
      </c>
      <c r="C9" s="25" t="s">
        <v>0</v>
      </c>
      <c r="D9" s="25" t="s">
        <v>1</v>
      </c>
      <c r="E9" s="26" t="s">
        <v>2</v>
      </c>
      <c r="F9" s="30" t="s">
        <v>74</v>
      </c>
      <c r="G9" s="31" t="s">
        <v>75</v>
      </c>
      <c r="H9" s="18" t="s">
        <v>66</v>
      </c>
      <c r="I9" s="18" t="s">
        <v>67</v>
      </c>
      <c r="J9" s="18" t="s">
        <v>73</v>
      </c>
      <c r="K9" s="18" t="s">
        <v>68</v>
      </c>
      <c r="L9" s="7" t="s">
        <v>77</v>
      </c>
    </row>
    <row r="10" spans="2:12" x14ac:dyDescent="0.2">
      <c r="B10" s="21" t="s">
        <v>41</v>
      </c>
      <c r="C10" s="8">
        <f t="array" ref="C10:G10">AntoineConstants(B10,$C$7)</f>
        <v>8.0713100000000004</v>
      </c>
      <c r="D10" s="9">
        <v>1730.63</v>
      </c>
      <c r="E10" s="27">
        <v>233.42599999999999</v>
      </c>
      <c r="F10" s="8">
        <v>1</v>
      </c>
      <c r="G10" s="10">
        <v>100</v>
      </c>
      <c r="H10" s="23">
        <f>IFERROR(10^(C10-D10/($C$7+E10)),"")</f>
        <v>92.299888080376377</v>
      </c>
      <c r="I10" s="13">
        <f>IFERROR(CONVERT($H10,$H$9,I$9),"")</f>
        <v>12.30560567865194</v>
      </c>
      <c r="J10" s="20">
        <f>IFERROR(H10*0.00133322,"")</f>
        <v>0.12305605678651939</v>
      </c>
      <c r="K10" s="13">
        <f t="shared" ref="K10:K17" si="0">IFERROR(CONVERT($H10,$H$9,K$9),"")</f>
        <v>1.7847772090316931</v>
      </c>
      <c r="L10" s="32" t="str">
        <f t="shared" ref="L10:L14" si="1">IF(B10="","",IF(C10="","Unknown compound, check list",IF(OR($C$7&lt;F10,$C$7&gt;G10),"Warning: Temperature outside range","")))</f>
        <v/>
      </c>
    </row>
    <row r="11" spans="2:12" x14ac:dyDescent="0.2">
      <c r="B11" s="21" t="s">
        <v>10</v>
      </c>
      <c r="C11" s="11">
        <f t="array" ref="C11:G11">AntoineConstants(B11,$C$7)</f>
        <v>7.8102799999999997</v>
      </c>
      <c r="D11" s="2">
        <v>1522.56</v>
      </c>
      <c r="E11" s="28">
        <v>191.95</v>
      </c>
      <c r="F11" s="11">
        <v>30</v>
      </c>
      <c r="G11" s="3">
        <v>70</v>
      </c>
      <c r="H11" s="23">
        <f>IFERROR(10^(C11-D11/($C$7+E11)),"")</f>
        <v>32.916190888002369</v>
      </c>
      <c r="I11" s="13">
        <f t="shared" ref="I11:I17" si="2">IFERROR(CONVERT($H11,$H$9,I$9),"")</f>
        <v>4.3884524015702517</v>
      </c>
      <c r="J11" s="13">
        <f t="shared" ref="J11:J17" si="3">IFERROR(H11*0.00133322,"")</f>
        <v>4.3884524015702517E-2</v>
      </c>
      <c r="K11" s="13">
        <f t="shared" si="0"/>
        <v>0.63649120846045293</v>
      </c>
      <c r="L11" s="33" t="str">
        <f t="shared" si="1"/>
        <v/>
      </c>
    </row>
    <row r="12" spans="2:12" x14ac:dyDescent="0.2">
      <c r="B12" s="21" t="s">
        <v>76</v>
      </c>
      <c r="C12" s="11" t="str">
        <f t="array" ref="C12:G12">AntoineConstants(B12,$C$7)</f>
        <v/>
      </c>
      <c r="D12" s="2" t="str">
        <v/>
      </c>
      <c r="E12" s="28" t="str">
        <v/>
      </c>
      <c r="F12" s="11" t="str">
        <v/>
      </c>
      <c r="G12" s="3" t="str">
        <v/>
      </c>
      <c r="H12" s="23" t="str">
        <f t="shared" ref="H12:H17" si="4">IFERROR(10^(C12-D12/($C$7+E12)),"")</f>
        <v/>
      </c>
      <c r="I12" s="13" t="str">
        <f t="shared" si="2"/>
        <v/>
      </c>
      <c r="J12" s="13" t="str">
        <f t="shared" si="3"/>
        <v/>
      </c>
      <c r="K12" s="13" t="str">
        <f t="shared" si="0"/>
        <v/>
      </c>
      <c r="L12" s="33" t="str">
        <f t="shared" si="1"/>
        <v>Unknown compound, check list</v>
      </c>
    </row>
    <row r="13" spans="2:12" x14ac:dyDescent="0.2">
      <c r="B13" s="21"/>
      <c r="C13" s="11" t="str">
        <f t="array" ref="C13:G13">AntoineConstants(B13,$C$7)</f>
        <v/>
      </c>
      <c r="D13" s="2" t="str">
        <v/>
      </c>
      <c r="E13" s="28" t="str">
        <v/>
      </c>
      <c r="F13" s="11" t="str">
        <v/>
      </c>
      <c r="G13" s="3" t="str">
        <v/>
      </c>
      <c r="H13" s="23" t="str">
        <f t="shared" si="4"/>
        <v/>
      </c>
      <c r="I13" s="13" t="str">
        <f t="shared" si="2"/>
        <v/>
      </c>
      <c r="J13" s="13" t="str">
        <f t="shared" si="3"/>
        <v/>
      </c>
      <c r="K13" s="13" t="str">
        <f t="shared" si="0"/>
        <v/>
      </c>
      <c r="L13" s="33" t="str">
        <f t="shared" si="1"/>
        <v/>
      </c>
    </row>
    <row r="14" spans="2:12" x14ac:dyDescent="0.2">
      <c r="B14" s="21"/>
      <c r="C14" s="11" t="str">
        <f t="array" ref="C14:G14">AntoineConstants(B14,$C$7)</f>
        <v/>
      </c>
      <c r="D14" s="2" t="str">
        <v/>
      </c>
      <c r="E14" s="28" t="str">
        <v/>
      </c>
      <c r="F14" s="11" t="str">
        <v/>
      </c>
      <c r="G14" s="3" t="str">
        <v/>
      </c>
      <c r="H14" s="23" t="str">
        <f t="shared" si="4"/>
        <v/>
      </c>
      <c r="I14" s="13" t="str">
        <f t="shared" si="2"/>
        <v/>
      </c>
      <c r="J14" s="13" t="str">
        <f t="shared" si="3"/>
        <v/>
      </c>
      <c r="K14" s="13" t="str">
        <f t="shared" si="0"/>
        <v/>
      </c>
      <c r="L14" s="33" t="str">
        <f t="shared" si="1"/>
        <v/>
      </c>
    </row>
    <row r="15" spans="2:12" x14ac:dyDescent="0.2">
      <c r="B15" s="21"/>
      <c r="C15" s="11" t="str">
        <f t="array" ref="C15:G15">AntoineConstants(B15,$C$7)</f>
        <v/>
      </c>
      <c r="D15" s="2" t="str">
        <v/>
      </c>
      <c r="E15" s="28" t="str">
        <v/>
      </c>
      <c r="F15" s="11" t="str">
        <v/>
      </c>
      <c r="G15" s="3" t="str">
        <v/>
      </c>
      <c r="H15" s="23" t="str">
        <f t="shared" si="4"/>
        <v/>
      </c>
      <c r="I15" s="13" t="str">
        <f t="shared" si="2"/>
        <v/>
      </c>
      <c r="J15" s="13" t="str">
        <f t="shared" si="3"/>
        <v/>
      </c>
      <c r="K15" s="13" t="str">
        <f t="shared" si="0"/>
        <v/>
      </c>
      <c r="L15" s="33" t="str">
        <f>IF(B15="","",IF(C15="","Unknown compound, check list",IF(OR($C$7&lt;F15,$C$7&gt;G15),"Warning: Temperature outside range","")))</f>
        <v/>
      </c>
    </row>
    <row r="16" spans="2:12" x14ac:dyDescent="0.2">
      <c r="B16" s="21"/>
      <c r="C16" s="11" t="str">
        <f t="array" ref="C16:G16">AntoineConstants(B16,$C$7)</f>
        <v/>
      </c>
      <c r="D16" s="2" t="str">
        <v/>
      </c>
      <c r="E16" s="28" t="str">
        <v/>
      </c>
      <c r="F16" s="11" t="str">
        <v/>
      </c>
      <c r="G16" s="3" t="str">
        <v/>
      </c>
      <c r="H16" s="23" t="str">
        <f t="shared" si="4"/>
        <v/>
      </c>
      <c r="I16" s="13" t="str">
        <f t="shared" si="2"/>
        <v/>
      </c>
      <c r="J16" s="13" t="str">
        <f t="shared" si="3"/>
        <v/>
      </c>
      <c r="K16" s="13" t="str">
        <f t="shared" si="0"/>
        <v/>
      </c>
      <c r="L16" s="33" t="str">
        <f t="shared" ref="L16:L17" si="5">IF(B16="","",IF(C16="","Unknown compound, check list",IF(OR($C$7&lt;F16,$C$7&gt;G16),"Warning: Temperature outside range","")))</f>
        <v/>
      </c>
    </row>
    <row r="17" spans="2:12" ht="13.5" thickBot="1" x14ac:dyDescent="0.25">
      <c r="B17" s="22"/>
      <c r="C17" s="12" t="str">
        <f t="array" ref="C17:G17">AntoineConstants(B17,$C$7)</f>
        <v/>
      </c>
      <c r="D17" s="4" t="str">
        <v/>
      </c>
      <c r="E17" s="29" t="str">
        <v/>
      </c>
      <c r="F17" s="12" t="str">
        <v/>
      </c>
      <c r="G17" s="5" t="str">
        <v/>
      </c>
      <c r="H17" s="24" t="str">
        <f t="shared" si="4"/>
        <v/>
      </c>
      <c r="I17" s="14" t="str">
        <f t="shared" si="2"/>
        <v/>
      </c>
      <c r="J17" s="14" t="str">
        <f t="shared" si="3"/>
        <v/>
      </c>
      <c r="K17" s="14" t="str">
        <f t="shared" si="0"/>
        <v/>
      </c>
      <c r="L17" s="34" t="str">
        <f t="shared" si="5"/>
        <v/>
      </c>
    </row>
    <row r="18" spans="2:12" hidden="1" x14ac:dyDescent="0.2">
      <c r="B18" t="s">
        <v>49</v>
      </c>
    </row>
    <row r="19" spans="2:12" hidden="1" x14ac:dyDescent="0.2">
      <c r="B19" t="s">
        <v>50</v>
      </c>
    </row>
    <row r="20" spans="2:12" hidden="1" x14ac:dyDescent="0.2">
      <c r="B20" t="s">
        <v>38</v>
      </c>
    </row>
    <row r="21" spans="2:12" hidden="1" x14ac:dyDescent="0.2">
      <c r="B21" t="s">
        <v>10</v>
      </c>
    </row>
    <row r="22" spans="2:12" hidden="1" x14ac:dyDescent="0.2">
      <c r="B22" t="s">
        <v>10</v>
      </c>
    </row>
    <row r="23" spans="2:12" hidden="1" x14ac:dyDescent="0.2">
      <c r="B23" t="s">
        <v>10</v>
      </c>
    </row>
    <row r="24" spans="2:12" hidden="1" x14ac:dyDescent="0.2">
      <c r="B24" t="s">
        <v>12</v>
      </c>
    </row>
    <row r="25" spans="2:12" hidden="1" x14ac:dyDescent="0.2">
      <c r="B25" t="s">
        <v>8</v>
      </c>
    </row>
    <row r="26" spans="2:12" hidden="1" x14ac:dyDescent="0.2">
      <c r="B26" t="s">
        <v>8</v>
      </c>
    </row>
    <row r="27" spans="2:12" hidden="1" x14ac:dyDescent="0.2">
      <c r="B27" t="s">
        <v>11</v>
      </c>
    </row>
    <row r="28" spans="2:12" hidden="1" x14ac:dyDescent="0.2">
      <c r="B28" t="s">
        <v>39</v>
      </c>
    </row>
    <row r="29" spans="2:12" hidden="1" x14ac:dyDescent="0.2">
      <c r="B29" t="s">
        <v>39</v>
      </c>
    </row>
    <row r="30" spans="2:12" hidden="1" x14ac:dyDescent="0.2">
      <c r="B30" t="s">
        <v>9</v>
      </c>
    </row>
    <row r="31" spans="2:12" hidden="1" x14ac:dyDescent="0.2">
      <c r="B31" t="s">
        <v>40</v>
      </c>
    </row>
    <row r="32" spans="2:12" hidden="1" x14ac:dyDescent="0.2">
      <c r="B32" t="s">
        <v>44</v>
      </c>
    </row>
    <row r="33" spans="2:2" hidden="1" x14ac:dyDescent="0.2">
      <c r="B33" t="s">
        <v>44</v>
      </c>
    </row>
    <row r="34" spans="2:2" hidden="1" x14ac:dyDescent="0.2">
      <c r="B34" t="s">
        <v>35</v>
      </c>
    </row>
    <row r="35" spans="2:2" hidden="1" x14ac:dyDescent="0.2">
      <c r="B35" t="s">
        <v>35</v>
      </c>
    </row>
    <row r="36" spans="2:2" hidden="1" x14ac:dyDescent="0.2">
      <c r="B36" t="s">
        <v>42</v>
      </c>
    </row>
    <row r="37" spans="2:2" hidden="1" x14ac:dyDescent="0.2">
      <c r="B37" t="s">
        <v>36</v>
      </c>
    </row>
    <row r="38" spans="2:2" hidden="1" x14ac:dyDescent="0.2">
      <c r="B38" t="s">
        <v>31</v>
      </c>
    </row>
    <row r="39" spans="2:2" hidden="1" x14ac:dyDescent="0.2">
      <c r="B39" t="s">
        <v>51</v>
      </c>
    </row>
    <row r="40" spans="2:2" hidden="1" x14ac:dyDescent="0.2">
      <c r="B40" t="s">
        <v>53</v>
      </c>
    </row>
    <row r="41" spans="2:2" hidden="1" x14ac:dyDescent="0.2">
      <c r="B41" t="s">
        <v>45</v>
      </c>
    </row>
    <row r="42" spans="2:2" hidden="1" x14ac:dyDescent="0.2">
      <c r="B42" t="s">
        <v>27</v>
      </c>
    </row>
    <row r="43" spans="2:2" hidden="1" x14ac:dyDescent="0.2">
      <c r="B43" t="s">
        <v>27</v>
      </c>
    </row>
    <row r="44" spans="2:2" hidden="1" x14ac:dyDescent="0.2">
      <c r="B44" t="s">
        <v>26</v>
      </c>
    </row>
    <row r="45" spans="2:2" hidden="1" x14ac:dyDescent="0.2">
      <c r="B45" t="s">
        <v>46</v>
      </c>
    </row>
    <row r="46" spans="2:2" hidden="1" x14ac:dyDescent="0.2">
      <c r="B46" t="s">
        <v>47</v>
      </c>
    </row>
    <row r="47" spans="2:2" hidden="1" x14ac:dyDescent="0.2">
      <c r="B47" t="s">
        <v>15</v>
      </c>
    </row>
    <row r="48" spans="2:2" hidden="1" x14ac:dyDescent="0.2">
      <c r="B48" t="s">
        <v>7</v>
      </c>
    </row>
    <row r="49" spans="2:2" hidden="1" x14ac:dyDescent="0.2">
      <c r="B49" t="s">
        <v>37</v>
      </c>
    </row>
    <row r="50" spans="2:2" hidden="1" x14ac:dyDescent="0.2">
      <c r="B50" t="s">
        <v>13</v>
      </c>
    </row>
    <row r="51" spans="2:2" hidden="1" x14ac:dyDescent="0.2">
      <c r="B51" t="s">
        <v>22</v>
      </c>
    </row>
    <row r="52" spans="2:2" hidden="1" x14ac:dyDescent="0.2">
      <c r="B52" t="s">
        <v>20</v>
      </c>
    </row>
    <row r="53" spans="2:2" hidden="1" x14ac:dyDescent="0.2">
      <c r="B53" t="s">
        <v>29</v>
      </c>
    </row>
    <row r="54" spans="2:2" hidden="1" x14ac:dyDescent="0.2">
      <c r="B54" t="s">
        <v>14</v>
      </c>
    </row>
    <row r="55" spans="2:2" hidden="1" x14ac:dyDescent="0.2">
      <c r="B55" t="s">
        <v>6</v>
      </c>
    </row>
    <row r="56" spans="2:2" hidden="1" x14ac:dyDescent="0.2">
      <c r="B56" t="s">
        <v>28</v>
      </c>
    </row>
    <row r="57" spans="2:2" hidden="1" x14ac:dyDescent="0.2">
      <c r="B57" t="s">
        <v>32</v>
      </c>
    </row>
    <row r="58" spans="2:2" hidden="1" x14ac:dyDescent="0.2">
      <c r="B58" t="s">
        <v>55</v>
      </c>
    </row>
    <row r="59" spans="2:2" hidden="1" x14ac:dyDescent="0.2">
      <c r="B59" t="s">
        <v>17</v>
      </c>
    </row>
    <row r="60" spans="2:2" hidden="1" x14ac:dyDescent="0.2">
      <c r="B60" t="s">
        <v>25</v>
      </c>
    </row>
    <row r="61" spans="2:2" hidden="1" x14ac:dyDescent="0.2">
      <c r="B61" t="s">
        <v>21</v>
      </c>
    </row>
    <row r="62" spans="2:2" hidden="1" x14ac:dyDescent="0.2">
      <c r="B62" t="s">
        <v>19</v>
      </c>
    </row>
    <row r="63" spans="2:2" hidden="1" x14ac:dyDescent="0.2">
      <c r="B63" t="s">
        <v>52</v>
      </c>
    </row>
    <row r="64" spans="2:2" hidden="1" x14ac:dyDescent="0.2">
      <c r="B64" t="s">
        <v>24</v>
      </c>
    </row>
    <row r="65" spans="2:2" hidden="1" x14ac:dyDescent="0.2">
      <c r="B65" t="s">
        <v>23</v>
      </c>
    </row>
    <row r="66" spans="2:2" hidden="1" x14ac:dyDescent="0.2">
      <c r="B66" t="s">
        <v>18</v>
      </c>
    </row>
    <row r="67" spans="2:2" hidden="1" x14ac:dyDescent="0.2">
      <c r="B67" t="s">
        <v>18</v>
      </c>
    </row>
    <row r="68" spans="2:2" hidden="1" x14ac:dyDescent="0.2">
      <c r="B68" t="s">
        <v>33</v>
      </c>
    </row>
    <row r="69" spans="2:2" hidden="1" x14ac:dyDescent="0.2">
      <c r="B69" t="s">
        <v>16</v>
      </c>
    </row>
    <row r="70" spans="2:2" hidden="1" x14ac:dyDescent="0.2">
      <c r="B70" t="s">
        <v>34</v>
      </c>
    </row>
    <row r="71" spans="2:2" hidden="1" x14ac:dyDescent="0.2">
      <c r="B71" t="s">
        <v>48</v>
      </c>
    </row>
    <row r="72" spans="2:2" hidden="1" x14ac:dyDescent="0.2">
      <c r="B72" t="s">
        <v>48</v>
      </c>
    </row>
    <row r="73" spans="2:2" hidden="1" x14ac:dyDescent="0.2">
      <c r="B73" t="s">
        <v>30</v>
      </c>
    </row>
    <row r="74" spans="2:2" hidden="1" x14ac:dyDescent="0.2">
      <c r="B74" t="s">
        <v>43</v>
      </c>
    </row>
    <row r="75" spans="2:2" hidden="1" x14ac:dyDescent="0.2">
      <c r="B75" t="s">
        <v>41</v>
      </c>
    </row>
    <row r="77" spans="2:2" x14ac:dyDescent="0.2">
      <c r="B77" s="15" t="s">
        <v>78</v>
      </c>
    </row>
  </sheetData>
  <mergeCells count="1">
    <mergeCell ref="H8:K8"/>
  </mergeCells>
  <hyperlinks>
    <hyperlink ref="L5" r:id="rId1"/>
  </hyperlinks>
  <pageMargins left="0.7" right="0.7" top="0.75" bottom="0.75" header="0.3" footer="0.3"/>
  <pageSetup orientation="portrait" horizontalDpi="4294967293" verticalDpi="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Title="Compound" prompt="Type compound name or select from dropdown list">
          <x14:formula1>
            <xm:f>'Antoine data'!$M$2:$M$49</xm:f>
          </x14:formula1>
          <xm:sqref>B10:B17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7"/>
  <sheetViews>
    <sheetView topLeftCell="A20" workbookViewId="0">
      <selection activeCell="J7" sqref="J7"/>
    </sheetView>
  </sheetViews>
  <sheetFormatPr defaultRowHeight="12.75" x14ac:dyDescent="0.2"/>
  <cols>
    <col min="1" max="1" width="17.7109375" customWidth="1"/>
    <col min="9" max="9" width="12" customWidth="1"/>
  </cols>
  <sheetData>
    <row r="1" spans="1:13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M1" s="15" t="s">
        <v>79</v>
      </c>
    </row>
    <row r="2" spans="1:13" x14ac:dyDescent="0.2">
      <c r="A2" t="s">
        <v>49</v>
      </c>
      <c r="B2">
        <v>7.0252999999999997</v>
      </c>
      <c r="C2">
        <v>1271.2539999999999</v>
      </c>
      <c r="D2">
        <v>222.92699999999999</v>
      </c>
      <c r="E2">
        <v>-31</v>
      </c>
      <c r="F2">
        <v>99</v>
      </c>
      <c r="G2">
        <v>3</v>
      </c>
      <c r="M2" t="s">
        <v>49</v>
      </c>
    </row>
    <row r="3" spans="1:13" x14ac:dyDescent="0.2">
      <c r="A3" s="15" t="s">
        <v>49</v>
      </c>
      <c r="B3">
        <v>7.4602700000000004</v>
      </c>
      <c r="C3">
        <v>1521.789</v>
      </c>
      <c r="D3">
        <v>248.48</v>
      </c>
      <c r="E3">
        <v>-31</v>
      </c>
      <c r="F3">
        <v>99</v>
      </c>
      <c r="M3" t="s">
        <v>38</v>
      </c>
    </row>
    <row r="4" spans="1:13" x14ac:dyDescent="0.2">
      <c r="A4" t="s">
        <v>38</v>
      </c>
      <c r="B4">
        <v>7.4315499999999997</v>
      </c>
      <c r="C4">
        <v>1554.6790000000001</v>
      </c>
      <c r="D4">
        <v>240.33699999999999</v>
      </c>
      <c r="E4">
        <v>20</v>
      </c>
      <c r="F4">
        <v>105</v>
      </c>
      <c r="G4">
        <v>3</v>
      </c>
      <c r="M4" t="s">
        <v>10</v>
      </c>
    </row>
    <row r="5" spans="1:13" x14ac:dyDescent="0.2">
      <c r="A5" t="s">
        <v>10</v>
      </c>
      <c r="B5">
        <v>7.8102799999999997</v>
      </c>
      <c r="C5">
        <v>1522.56</v>
      </c>
      <c r="D5">
        <v>191.95</v>
      </c>
      <c r="E5">
        <v>30</v>
      </c>
      <c r="F5">
        <v>70</v>
      </c>
      <c r="G5">
        <v>2</v>
      </c>
      <c r="M5" t="s">
        <v>12</v>
      </c>
    </row>
    <row r="6" spans="1:13" x14ac:dyDescent="0.2">
      <c r="A6" t="s">
        <v>10</v>
      </c>
      <c r="B6">
        <v>7.7532800000000002</v>
      </c>
      <c r="C6">
        <v>1506.07</v>
      </c>
      <c r="D6">
        <v>191.59299999999999</v>
      </c>
      <c r="E6">
        <v>70</v>
      </c>
      <c r="F6">
        <v>120</v>
      </c>
      <c r="G6">
        <v>2</v>
      </c>
      <c r="M6" t="s">
        <v>8</v>
      </c>
    </row>
    <row r="7" spans="1:13" x14ac:dyDescent="0.2">
      <c r="A7" t="s">
        <v>10</v>
      </c>
      <c r="B7">
        <v>7.3636600000000003</v>
      </c>
      <c r="C7">
        <v>1305.1980000000001</v>
      </c>
      <c r="D7">
        <v>173.42699999999999</v>
      </c>
      <c r="E7">
        <v>89</v>
      </c>
      <c r="F7">
        <v>126</v>
      </c>
      <c r="G7">
        <v>3</v>
      </c>
      <c r="M7" t="s">
        <v>11</v>
      </c>
    </row>
    <row r="8" spans="1:13" x14ac:dyDescent="0.2">
      <c r="A8" t="s">
        <v>12</v>
      </c>
      <c r="B8">
        <v>8.3660456950000004</v>
      </c>
      <c r="C8">
        <v>2170.2402579999998</v>
      </c>
      <c r="D8">
        <v>205.92142960000001</v>
      </c>
      <c r="E8">
        <v>55</v>
      </c>
      <c r="F8">
        <v>150</v>
      </c>
      <c r="G8">
        <v>1</v>
      </c>
      <c r="M8" t="s">
        <v>39</v>
      </c>
    </row>
    <row r="9" spans="1:13" x14ac:dyDescent="0.2">
      <c r="A9" t="s">
        <v>8</v>
      </c>
      <c r="B9">
        <v>8.3789499999999997</v>
      </c>
      <c r="C9">
        <v>1788.02</v>
      </c>
      <c r="D9">
        <v>227.43799999999999</v>
      </c>
      <c r="E9">
        <v>-15</v>
      </c>
      <c r="F9">
        <v>98</v>
      </c>
      <c r="G9">
        <v>3</v>
      </c>
      <c r="M9" t="s">
        <v>9</v>
      </c>
    </row>
    <row r="10" spans="1:13" x14ac:dyDescent="0.2">
      <c r="A10" t="s">
        <v>8</v>
      </c>
      <c r="B10">
        <v>7.7441599999999999</v>
      </c>
      <c r="C10">
        <v>1437.6859999999999</v>
      </c>
      <c r="D10">
        <v>198.46299999999999</v>
      </c>
      <c r="E10">
        <v>60</v>
      </c>
      <c r="F10">
        <v>106</v>
      </c>
      <c r="M10" t="s">
        <v>40</v>
      </c>
    </row>
    <row r="11" spans="1:13" x14ac:dyDescent="0.2">
      <c r="A11" t="s">
        <v>11</v>
      </c>
      <c r="B11">
        <v>7.2013100000000003</v>
      </c>
      <c r="C11">
        <v>1157</v>
      </c>
      <c r="D11">
        <v>168.279</v>
      </c>
      <c r="E11">
        <v>72</v>
      </c>
      <c r="F11">
        <v>107</v>
      </c>
      <c r="G11">
        <v>3</v>
      </c>
      <c r="M11" t="s">
        <v>44</v>
      </c>
    </row>
    <row r="12" spans="1:13" x14ac:dyDescent="0.2">
      <c r="A12" t="s">
        <v>39</v>
      </c>
      <c r="B12">
        <v>7.2806621079999996</v>
      </c>
      <c r="C12">
        <v>1434.201069</v>
      </c>
      <c r="D12">
        <v>246.49904570000001</v>
      </c>
      <c r="E12">
        <v>-6.5</v>
      </c>
      <c r="F12">
        <v>80</v>
      </c>
      <c r="G12">
        <v>1</v>
      </c>
      <c r="M12" t="s">
        <v>35</v>
      </c>
    </row>
    <row r="13" spans="1:13" x14ac:dyDescent="0.2">
      <c r="A13" t="s">
        <v>39</v>
      </c>
      <c r="B13">
        <v>7.0635599999999998</v>
      </c>
      <c r="C13">
        <v>1261.3389999999999</v>
      </c>
      <c r="D13">
        <v>221.96899999999999</v>
      </c>
      <c r="E13">
        <v>43</v>
      </c>
      <c r="F13">
        <v>88</v>
      </c>
      <c r="G13">
        <v>3</v>
      </c>
      <c r="M13" t="s">
        <v>42</v>
      </c>
    </row>
    <row r="14" spans="1:13" x14ac:dyDescent="0.2">
      <c r="A14" t="s">
        <v>9</v>
      </c>
      <c r="B14">
        <v>8.8782899999999998</v>
      </c>
      <c r="C14">
        <v>2010.33</v>
      </c>
      <c r="D14">
        <v>252.636</v>
      </c>
      <c r="E14">
        <v>-26</v>
      </c>
      <c r="F14">
        <v>83</v>
      </c>
      <c r="G14">
        <v>3</v>
      </c>
      <c r="M14" t="s">
        <v>36</v>
      </c>
    </row>
    <row r="15" spans="1:13" x14ac:dyDescent="0.2">
      <c r="A15" t="s">
        <v>40</v>
      </c>
      <c r="B15">
        <v>7.2306400000000002</v>
      </c>
      <c r="C15">
        <v>1477.021</v>
      </c>
      <c r="D15">
        <v>237.517</v>
      </c>
      <c r="E15">
        <v>36</v>
      </c>
      <c r="F15">
        <v>102</v>
      </c>
      <c r="G15">
        <v>3</v>
      </c>
      <c r="M15" t="s">
        <v>31</v>
      </c>
    </row>
    <row r="16" spans="1:13" x14ac:dyDescent="0.2">
      <c r="A16" t="s">
        <v>44</v>
      </c>
      <c r="B16">
        <v>8.0210000000000008</v>
      </c>
      <c r="C16">
        <v>1936.01</v>
      </c>
      <c r="D16">
        <v>258.45100000000002</v>
      </c>
      <c r="E16">
        <v>18</v>
      </c>
      <c r="F16">
        <v>118</v>
      </c>
      <c r="G16">
        <v>3</v>
      </c>
      <c r="M16" t="s">
        <v>80</v>
      </c>
    </row>
    <row r="17" spans="1:13" x14ac:dyDescent="0.2">
      <c r="A17" t="s">
        <v>44</v>
      </c>
      <c r="B17">
        <v>8.2673500000000004</v>
      </c>
      <c r="C17">
        <v>2258.2220000000002</v>
      </c>
      <c r="D17">
        <v>300.97000000000003</v>
      </c>
      <c r="E17">
        <v>118</v>
      </c>
      <c r="F17">
        <v>227</v>
      </c>
      <c r="G17">
        <v>3</v>
      </c>
      <c r="M17" t="s">
        <v>70</v>
      </c>
    </row>
    <row r="18" spans="1:13" x14ac:dyDescent="0.2">
      <c r="A18" t="s">
        <v>35</v>
      </c>
      <c r="B18">
        <v>7.11714</v>
      </c>
      <c r="C18">
        <v>1210.595</v>
      </c>
      <c r="D18">
        <v>229.66399999999999</v>
      </c>
      <c r="E18">
        <v>-13</v>
      </c>
      <c r="F18">
        <v>55</v>
      </c>
      <c r="G18">
        <v>3</v>
      </c>
      <c r="M18" t="s">
        <v>45</v>
      </c>
    </row>
    <row r="19" spans="1:13" x14ac:dyDescent="0.2">
      <c r="A19" t="s">
        <v>35</v>
      </c>
      <c r="B19">
        <v>7.6313000000000004</v>
      </c>
      <c r="C19">
        <v>1566.69</v>
      </c>
      <c r="D19">
        <v>273.41899999999998</v>
      </c>
      <c r="E19">
        <v>57</v>
      </c>
      <c r="F19">
        <v>205</v>
      </c>
      <c r="G19">
        <v>3</v>
      </c>
      <c r="M19" t="s">
        <v>27</v>
      </c>
    </row>
    <row r="20" spans="1:13" x14ac:dyDescent="0.2">
      <c r="A20" t="s">
        <v>42</v>
      </c>
      <c r="B20">
        <v>7.3398599999999998</v>
      </c>
      <c r="C20">
        <v>1482.29</v>
      </c>
      <c r="D20">
        <v>250.523</v>
      </c>
      <c r="E20">
        <v>-27</v>
      </c>
      <c r="F20">
        <v>82</v>
      </c>
      <c r="G20">
        <v>3</v>
      </c>
      <c r="M20" t="s">
        <v>26</v>
      </c>
    </row>
    <row r="21" spans="1:13" x14ac:dyDescent="0.2">
      <c r="A21" t="s">
        <v>36</v>
      </c>
      <c r="B21">
        <v>7.06691</v>
      </c>
      <c r="C21">
        <v>1204.95</v>
      </c>
      <c r="D21">
        <v>235.35</v>
      </c>
      <c r="E21">
        <v>-65</v>
      </c>
      <c r="F21">
        <v>53</v>
      </c>
      <c r="G21">
        <v>3</v>
      </c>
      <c r="M21" t="s">
        <v>46</v>
      </c>
    </row>
    <row r="22" spans="1:13" x14ac:dyDescent="0.2">
      <c r="A22" t="s">
        <v>31</v>
      </c>
      <c r="B22">
        <v>6.8798700000000004</v>
      </c>
      <c r="C22">
        <v>1196.76</v>
      </c>
      <c r="D22">
        <v>219.161</v>
      </c>
      <c r="E22">
        <v>8</v>
      </c>
      <c r="F22">
        <v>80</v>
      </c>
      <c r="G22">
        <v>3</v>
      </c>
      <c r="M22" t="s">
        <v>47</v>
      </c>
    </row>
    <row r="23" spans="1:13" x14ac:dyDescent="0.2">
      <c r="A23" s="15" t="s">
        <v>80</v>
      </c>
      <c r="B23">
        <v>7.5971560179999997</v>
      </c>
      <c r="C23">
        <v>1961.4684749999999</v>
      </c>
      <c r="D23">
        <v>236.51136679999999</v>
      </c>
      <c r="E23">
        <v>22</v>
      </c>
      <c r="F23">
        <v>180</v>
      </c>
      <c r="G23">
        <v>1</v>
      </c>
      <c r="M23" t="s">
        <v>15</v>
      </c>
    </row>
    <row r="24" spans="1:13" x14ac:dyDescent="0.2">
      <c r="A24" s="15" t="s">
        <v>70</v>
      </c>
      <c r="B24">
        <v>13.535399999999999</v>
      </c>
      <c r="C24">
        <v>4993.37</v>
      </c>
      <c r="D24">
        <v>296.072</v>
      </c>
      <c r="E24">
        <v>20</v>
      </c>
      <c r="F24">
        <v>40</v>
      </c>
      <c r="G24" t="s">
        <v>54</v>
      </c>
      <c r="M24" t="s">
        <v>7</v>
      </c>
    </row>
    <row r="25" spans="1:13" x14ac:dyDescent="0.2">
      <c r="A25" t="s">
        <v>45</v>
      </c>
      <c r="B25">
        <v>6.95465</v>
      </c>
      <c r="C25">
        <v>1170.9659999999999</v>
      </c>
      <c r="D25">
        <v>226.232</v>
      </c>
      <c r="E25">
        <v>-10</v>
      </c>
      <c r="F25">
        <v>60</v>
      </c>
      <c r="G25">
        <v>3</v>
      </c>
      <c r="M25" t="s">
        <v>37</v>
      </c>
    </row>
    <row r="26" spans="1:13" x14ac:dyDescent="0.2">
      <c r="A26" t="s">
        <v>27</v>
      </c>
      <c r="B26">
        <v>7.2647533769999999</v>
      </c>
      <c r="C26">
        <v>1434.1483390000001</v>
      </c>
      <c r="D26">
        <v>246.72069250000001</v>
      </c>
      <c r="E26">
        <v>6.7</v>
      </c>
      <c r="F26">
        <v>80.7</v>
      </c>
      <c r="G26">
        <v>1</v>
      </c>
      <c r="M26" t="s">
        <v>13</v>
      </c>
    </row>
    <row r="27" spans="1:13" x14ac:dyDescent="0.2">
      <c r="A27" t="s">
        <v>27</v>
      </c>
      <c r="B27">
        <v>6.8514600000000003</v>
      </c>
      <c r="C27">
        <v>1206.47</v>
      </c>
      <c r="D27">
        <v>223.136</v>
      </c>
      <c r="E27">
        <v>7</v>
      </c>
      <c r="F27">
        <v>81</v>
      </c>
      <c r="G27">
        <v>3</v>
      </c>
      <c r="M27" t="s">
        <v>22</v>
      </c>
    </row>
    <row r="28" spans="1:13" x14ac:dyDescent="0.2">
      <c r="A28" t="s">
        <v>26</v>
      </c>
      <c r="B28">
        <v>7.44</v>
      </c>
      <c r="C28">
        <v>1843.12</v>
      </c>
      <c r="D28">
        <v>230.22</v>
      </c>
      <c r="E28">
        <v>17</v>
      </c>
      <c r="F28">
        <v>174</v>
      </c>
      <c r="G28">
        <v>3</v>
      </c>
      <c r="M28" t="s">
        <v>20</v>
      </c>
    </row>
    <row r="29" spans="1:13" x14ac:dyDescent="0.2">
      <c r="A29" t="s">
        <v>46</v>
      </c>
      <c r="B29">
        <v>7.0803000000000003</v>
      </c>
      <c r="C29">
        <v>1138.9100000000001</v>
      </c>
      <c r="D29">
        <v>231.45</v>
      </c>
      <c r="E29">
        <v>-44</v>
      </c>
      <c r="F29">
        <v>59</v>
      </c>
      <c r="G29">
        <v>3</v>
      </c>
      <c r="M29" t="s">
        <v>29</v>
      </c>
    </row>
    <row r="30" spans="1:13" x14ac:dyDescent="0.2">
      <c r="A30" t="s">
        <v>47</v>
      </c>
      <c r="B30">
        <v>7.40916</v>
      </c>
      <c r="C30">
        <v>1325.9380000000001</v>
      </c>
      <c r="D30">
        <v>252.61600000000001</v>
      </c>
      <c r="E30">
        <v>-40</v>
      </c>
      <c r="F30">
        <v>40</v>
      </c>
      <c r="G30">
        <v>3</v>
      </c>
      <c r="M30" t="s">
        <v>14</v>
      </c>
    </row>
    <row r="31" spans="1:13" x14ac:dyDescent="0.2">
      <c r="A31" t="s">
        <v>15</v>
      </c>
      <c r="B31">
        <v>6.8291500000000003</v>
      </c>
      <c r="C31">
        <v>663.72</v>
      </c>
      <c r="D31">
        <v>256.68099999999998</v>
      </c>
      <c r="E31">
        <v>-143</v>
      </c>
      <c r="F31">
        <v>-84</v>
      </c>
      <c r="G31">
        <v>5</v>
      </c>
      <c r="M31" t="s">
        <v>6</v>
      </c>
    </row>
    <row r="32" spans="1:13" x14ac:dyDescent="0.2">
      <c r="A32" t="s">
        <v>7</v>
      </c>
      <c r="B32">
        <v>8.1121999999999996</v>
      </c>
      <c r="C32">
        <v>1592.864</v>
      </c>
      <c r="D32">
        <v>226.184</v>
      </c>
      <c r="E32">
        <v>20</v>
      </c>
      <c r="F32">
        <v>93</v>
      </c>
      <c r="G32">
        <v>3</v>
      </c>
      <c r="M32" t="s">
        <v>28</v>
      </c>
    </row>
    <row r="33" spans="1:13" x14ac:dyDescent="0.2">
      <c r="A33" t="s">
        <v>37</v>
      </c>
      <c r="B33">
        <v>7.1017900000000003</v>
      </c>
      <c r="C33">
        <v>1244.95</v>
      </c>
      <c r="D33">
        <v>217.881</v>
      </c>
      <c r="E33">
        <v>16</v>
      </c>
      <c r="F33">
        <v>76</v>
      </c>
      <c r="G33">
        <v>3</v>
      </c>
      <c r="M33" t="s">
        <v>32</v>
      </c>
    </row>
    <row r="34" spans="1:13" x14ac:dyDescent="0.2">
      <c r="A34" t="s">
        <v>13</v>
      </c>
      <c r="B34">
        <v>7.2516208420000003</v>
      </c>
      <c r="C34">
        <v>1448.565085</v>
      </c>
      <c r="D34">
        <v>134.11820169999999</v>
      </c>
      <c r="E34">
        <v>80</v>
      </c>
      <c r="F34">
        <v>200</v>
      </c>
      <c r="G34">
        <v>1</v>
      </c>
      <c r="M34" t="s">
        <v>81</v>
      </c>
    </row>
    <row r="35" spans="1:13" x14ac:dyDescent="0.2">
      <c r="A35" t="s">
        <v>22</v>
      </c>
      <c r="B35">
        <v>6.8938600000000001</v>
      </c>
      <c r="C35">
        <v>1264.3699999999999</v>
      </c>
      <c r="D35">
        <v>216.64</v>
      </c>
      <c r="E35">
        <v>-3</v>
      </c>
      <c r="F35">
        <v>127</v>
      </c>
      <c r="G35">
        <v>3</v>
      </c>
      <c r="M35" t="s">
        <v>17</v>
      </c>
    </row>
    <row r="36" spans="1:13" x14ac:dyDescent="0.2">
      <c r="A36" t="s">
        <v>20</v>
      </c>
      <c r="B36">
        <v>6.9105800000000004</v>
      </c>
      <c r="C36">
        <v>1189.6400000000001</v>
      </c>
      <c r="D36">
        <v>226.28</v>
      </c>
      <c r="E36">
        <v>-30</v>
      </c>
      <c r="F36">
        <v>170</v>
      </c>
      <c r="G36">
        <v>3</v>
      </c>
      <c r="M36" t="s">
        <v>25</v>
      </c>
    </row>
    <row r="37" spans="1:13" x14ac:dyDescent="0.2">
      <c r="A37" t="s">
        <v>29</v>
      </c>
      <c r="B37">
        <v>8.1121999999999996</v>
      </c>
      <c r="C37">
        <v>1592.864</v>
      </c>
      <c r="D37">
        <v>226.184</v>
      </c>
      <c r="E37">
        <v>20</v>
      </c>
      <c r="F37">
        <v>93</v>
      </c>
      <c r="M37" t="s">
        <v>21</v>
      </c>
    </row>
    <row r="38" spans="1:13" x14ac:dyDescent="0.2">
      <c r="A38" t="s">
        <v>14</v>
      </c>
      <c r="B38">
        <v>6.6437999999999997</v>
      </c>
      <c r="C38">
        <v>395.74</v>
      </c>
      <c r="D38">
        <v>266.68099999999998</v>
      </c>
      <c r="E38">
        <v>-182</v>
      </c>
      <c r="F38">
        <v>-158</v>
      </c>
      <c r="G38">
        <v>5</v>
      </c>
      <c r="M38" t="s">
        <v>19</v>
      </c>
    </row>
    <row r="39" spans="1:13" x14ac:dyDescent="0.2">
      <c r="A39" t="s">
        <v>6</v>
      </c>
      <c r="B39">
        <v>8.0809700000000007</v>
      </c>
      <c r="C39">
        <v>1582.271</v>
      </c>
      <c r="D39">
        <v>239.726</v>
      </c>
      <c r="E39">
        <v>15</v>
      </c>
      <c r="F39">
        <v>84</v>
      </c>
      <c r="G39">
        <v>3</v>
      </c>
      <c r="M39" t="s">
        <v>52</v>
      </c>
    </row>
    <row r="40" spans="1:13" x14ac:dyDescent="0.2">
      <c r="A40" t="s">
        <v>28</v>
      </c>
      <c r="B40">
        <v>7.1161000000000003</v>
      </c>
      <c r="C40">
        <v>1444.59</v>
      </c>
      <c r="D40">
        <v>240.184</v>
      </c>
      <c r="E40">
        <v>-3</v>
      </c>
      <c r="F40">
        <v>100</v>
      </c>
      <c r="G40">
        <v>1</v>
      </c>
      <c r="M40" t="s">
        <v>24</v>
      </c>
    </row>
    <row r="41" spans="1:13" x14ac:dyDescent="0.2">
      <c r="A41" t="s">
        <v>32</v>
      </c>
      <c r="B41">
        <v>7.0090899999999996</v>
      </c>
      <c r="C41">
        <v>1462.2660000000001</v>
      </c>
      <c r="D41">
        <v>215.11</v>
      </c>
      <c r="E41">
        <v>29</v>
      </c>
      <c r="F41">
        <v>166</v>
      </c>
      <c r="G41">
        <v>3</v>
      </c>
      <c r="M41" t="s">
        <v>23</v>
      </c>
    </row>
    <row r="42" spans="1:13" x14ac:dyDescent="0.2">
      <c r="A42" s="15" t="s">
        <v>81</v>
      </c>
      <c r="B42">
        <v>8.6223299999999998</v>
      </c>
      <c r="C42">
        <v>2165.7199999999998</v>
      </c>
      <c r="D42">
        <v>198.28399999999999</v>
      </c>
      <c r="E42">
        <v>20</v>
      </c>
      <c r="F42">
        <v>40</v>
      </c>
      <c r="G42" t="s">
        <v>56</v>
      </c>
      <c r="M42" t="s">
        <v>18</v>
      </c>
    </row>
    <row r="43" spans="1:13" x14ac:dyDescent="0.2">
      <c r="A43" t="s">
        <v>17</v>
      </c>
      <c r="B43">
        <v>6.80776</v>
      </c>
      <c r="C43">
        <v>935.77</v>
      </c>
      <c r="D43">
        <v>238.78899999999999</v>
      </c>
      <c r="E43">
        <v>-78</v>
      </c>
      <c r="F43">
        <v>19</v>
      </c>
      <c r="G43">
        <v>5</v>
      </c>
      <c r="M43" t="s">
        <v>33</v>
      </c>
    </row>
    <row r="44" spans="1:13" x14ac:dyDescent="0.2">
      <c r="A44" t="s">
        <v>25</v>
      </c>
      <c r="B44">
        <v>6.9436299999999997</v>
      </c>
      <c r="C44">
        <v>1495.17</v>
      </c>
      <c r="D44">
        <v>193.858</v>
      </c>
      <c r="E44">
        <v>58</v>
      </c>
      <c r="F44">
        <v>203</v>
      </c>
      <c r="G44">
        <v>5</v>
      </c>
      <c r="M44" t="s">
        <v>16</v>
      </c>
    </row>
    <row r="45" spans="1:13" x14ac:dyDescent="0.2">
      <c r="A45" t="s">
        <v>21</v>
      </c>
      <c r="B45">
        <v>6.8967700000000001</v>
      </c>
      <c r="C45">
        <v>1264.9000000000001</v>
      </c>
      <c r="D45">
        <v>216.54400000000001</v>
      </c>
      <c r="E45">
        <v>-2</v>
      </c>
      <c r="F45">
        <v>123</v>
      </c>
      <c r="G45">
        <v>5</v>
      </c>
      <c r="M45" t="s">
        <v>34</v>
      </c>
    </row>
    <row r="46" spans="1:13" x14ac:dyDescent="0.2">
      <c r="A46" t="s">
        <v>19</v>
      </c>
      <c r="B46">
        <v>6.87601</v>
      </c>
      <c r="C46">
        <v>1171.17</v>
      </c>
      <c r="D46">
        <v>224.40799999999999</v>
      </c>
      <c r="E46">
        <v>-25</v>
      </c>
      <c r="F46">
        <v>92</v>
      </c>
      <c r="G46">
        <v>5</v>
      </c>
      <c r="M46" t="s">
        <v>48</v>
      </c>
    </row>
    <row r="47" spans="1:13" x14ac:dyDescent="0.2">
      <c r="A47" t="s">
        <v>52</v>
      </c>
      <c r="B47">
        <v>7.1945839759999997</v>
      </c>
      <c r="C47">
        <v>1446.5090740000001</v>
      </c>
      <c r="D47">
        <v>220.79478399999999</v>
      </c>
      <c r="E47">
        <v>1.5</v>
      </c>
      <c r="F47">
        <v>94</v>
      </c>
      <c r="G47">
        <v>1</v>
      </c>
      <c r="M47" t="s">
        <v>30</v>
      </c>
    </row>
    <row r="48" spans="1:13" x14ac:dyDescent="0.2">
      <c r="A48" t="s">
        <v>24</v>
      </c>
      <c r="B48">
        <v>6.93893</v>
      </c>
      <c r="C48">
        <v>1431.82</v>
      </c>
      <c r="D48">
        <v>202.11</v>
      </c>
      <c r="E48">
        <v>39</v>
      </c>
      <c r="F48">
        <v>178</v>
      </c>
      <c r="G48">
        <v>5</v>
      </c>
      <c r="M48" t="s">
        <v>82</v>
      </c>
    </row>
    <row r="49" spans="1:13" x14ac:dyDescent="0.2">
      <c r="A49" t="s">
        <v>23</v>
      </c>
      <c r="B49">
        <v>6.9186800000000002</v>
      </c>
      <c r="C49">
        <v>1351.99</v>
      </c>
      <c r="D49">
        <v>209.155</v>
      </c>
      <c r="E49">
        <v>19</v>
      </c>
      <c r="F49">
        <v>152</v>
      </c>
      <c r="G49">
        <v>5</v>
      </c>
      <c r="M49" t="s">
        <v>41</v>
      </c>
    </row>
    <row r="50" spans="1:13" x14ac:dyDescent="0.2">
      <c r="A50" t="s">
        <v>18</v>
      </c>
      <c r="B50">
        <v>6.8529600000000004</v>
      </c>
      <c r="C50">
        <v>1064.8399999999999</v>
      </c>
      <c r="D50">
        <v>232.012</v>
      </c>
      <c r="E50">
        <v>-50</v>
      </c>
      <c r="F50">
        <v>58</v>
      </c>
      <c r="G50">
        <v>5</v>
      </c>
    </row>
    <row r="51" spans="1:13" x14ac:dyDescent="0.2">
      <c r="A51" t="s">
        <v>18</v>
      </c>
      <c r="B51">
        <v>6.8763199999999998</v>
      </c>
      <c r="C51">
        <v>1075.78</v>
      </c>
      <c r="D51">
        <v>233.20500000000001</v>
      </c>
      <c r="E51">
        <v>-50</v>
      </c>
      <c r="F51">
        <v>58</v>
      </c>
      <c r="G51">
        <v>3</v>
      </c>
    </row>
    <row r="52" spans="1:13" x14ac:dyDescent="0.2">
      <c r="A52" t="s">
        <v>33</v>
      </c>
      <c r="B52">
        <v>7.0015400000000003</v>
      </c>
      <c r="C52">
        <v>1476.393</v>
      </c>
      <c r="D52">
        <v>213.87200000000001</v>
      </c>
      <c r="E52">
        <v>63</v>
      </c>
      <c r="F52">
        <v>145</v>
      </c>
      <c r="G52">
        <v>3</v>
      </c>
    </row>
    <row r="53" spans="1:13" x14ac:dyDescent="0.2">
      <c r="A53" t="s">
        <v>16</v>
      </c>
      <c r="B53">
        <v>6.8033799999999998</v>
      </c>
      <c r="C53">
        <v>804</v>
      </c>
      <c r="D53">
        <v>247.04</v>
      </c>
      <c r="E53">
        <v>-108</v>
      </c>
      <c r="F53">
        <v>-35.65</v>
      </c>
      <c r="G53">
        <v>5</v>
      </c>
    </row>
    <row r="54" spans="1:13" x14ac:dyDescent="0.2">
      <c r="A54" t="s">
        <v>34</v>
      </c>
      <c r="B54">
        <v>6.9905299999999997</v>
      </c>
      <c r="C54">
        <v>1453.43</v>
      </c>
      <c r="D54">
        <v>215.31</v>
      </c>
      <c r="E54">
        <v>27</v>
      </c>
      <c r="F54">
        <v>166</v>
      </c>
      <c r="G54">
        <v>3</v>
      </c>
    </row>
    <row r="55" spans="1:13" x14ac:dyDescent="0.2">
      <c r="A55" t="s">
        <v>48</v>
      </c>
      <c r="B55">
        <v>6.8409300000000002</v>
      </c>
      <c r="C55">
        <v>1177.9100000000001</v>
      </c>
      <c r="D55">
        <v>220.57599999999999</v>
      </c>
      <c r="E55">
        <v>-20</v>
      </c>
      <c r="F55">
        <v>77</v>
      </c>
      <c r="G55">
        <v>3</v>
      </c>
    </row>
    <row r="56" spans="1:13" x14ac:dyDescent="0.2">
      <c r="A56" t="s">
        <v>48</v>
      </c>
      <c r="B56">
        <v>6.8979999999999997</v>
      </c>
      <c r="C56">
        <v>1221.7809999999999</v>
      </c>
      <c r="D56">
        <v>227.41099999999997</v>
      </c>
      <c r="E56">
        <v>-5</v>
      </c>
      <c r="F56">
        <v>52.7</v>
      </c>
      <c r="G56">
        <v>6</v>
      </c>
    </row>
    <row r="57" spans="1:13" x14ac:dyDescent="0.2">
      <c r="A57" t="s">
        <v>30</v>
      </c>
      <c r="B57">
        <v>6.9508700000000001</v>
      </c>
      <c r="C57">
        <v>1342.31</v>
      </c>
      <c r="D57">
        <v>219.18700000000001</v>
      </c>
      <c r="E57">
        <v>-27</v>
      </c>
      <c r="F57">
        <v>111</v>
      </c>
      <c r="G57">
        <v>3</v>
      </c>
    </row>
    <row r="58" spans="1:13" x14ac:dyDescent="0.2">
      <c r="A58" s="15" t="s">
        <v>82</v>
      </c>
      <c r="B58">
        <v>5.8587899999999999</v>
      </c>
      <c r="C58">
        <v>695.66600000000005</v>
      </c>
      <c r="D58">
        <v>144.83199999999999</v>
      </c>
      <c r="E58">
        <v>50</v>
      </c>
      <c r="F58">
        <v>95</v>
      </c>
      <c r="G58">
        <v>3</v>
      </c>
    </row>
    <row r="59" spans="1:13" x14ac:dyDescent="0.2">
      <c r="A59" t="s">
        <v>41</v>
      </c>
      <c r="B59">
        <v>8.0713100000000004</v>
      </c>
      <c r="C59">
        <v>1730.63</v>
      </c>
      <c r="D59">
        <v>233.42599999999999</v>
      </c>
      <c r="E59">
        <v>1</v>
      </c>
      <c r="F59">
        <v>100</v>
      </c>
      <c r="G59">
        <v>3</v>
      </c>
    </row>
    <row r="62" spans="1:13" x14ac:dyDescent="0.2">
      <c r="A62" t="s">
        <v>5</v>
      </c>
    </row>
    <row r="63" spans="1:13" x14ac:dyDescent="0.2">
      <c r="A63" t="s">
        <v>57</v>
      </c>
    </row>
    <row r="64" spans="1:13" x14ac:dyDescent="0.2">
      <c r="A64" t="s">
        <v>58</v>
      </c>
    </row>
    <row r="65" spans="1:1" x14ac:dyDescent="0.2">
      <c r="A65" t="s">
        <v>59</v>
      </c>
    </row>
    <row r="66" spans="1:1" x14ac:dyDescent="0.2">
      <c r="A66" t="s">
        <v>60</v>
      </c>
    </row>
    <row r="67" spans="1:1" x14ac:dyDescent="0.2">
      <c r="A67" t="s">
        <v>61</v>
      </c>
    </row>
  </sheetData>
  <sortState ref="A2:G59">
    <sortCondition ref="A2:A59"/>
    <sortCondition ref="E2:E59"/>
    <sortCondition ref="F2:F59"/>
  </sortState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Saturation Pressure Calculation</vt:lpstr>
      <vt:lpstr>Antoine data</vt:lpstr>
    </vt:vector>
  </TitlesOfParts>
  <Company>Michigan State University College of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Lira</dc:creator>
  <cp:lastModifiedBy>Paul Chrastina</cp:lastModifiedBy>
  <dcterms:created xsi:type="dcterms:W3CDTF">2011-12-12T21:54:12Z</dcterms:created>
  <dcterms:modified xsi:type="dcterms:W3CDTF">2018-02-21T17:01:16Z</dcterms:modified>
</cp:coreProperties>
</file>